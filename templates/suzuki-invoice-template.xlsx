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【コピー用】請求書 " sheetId="1" r:id="rId4"/>
    <sheet state="visible" name="【記入例】請求書" sheetId="2" r:id="rId5"/>
  </sheets>
  <definedNames/>
  <calcPr/>
  <extLst>
    <ext uri="GoogleSheetsCustomDataVersion2">
      <go:sheetsCustomData xmlns:go="http://customooxmlschemas.google.com/" r:id="rId6" roundtripDataChecksum="VGIQHk9VmiLCWMiJ+mLtIHcNl1alS76zP8qoJrq+1WA="/>
    </ext>
  </extLst>
</workbook>
</file>

<file path=xl/sharedStrings.xml><?xml version="1.0" encoding="utf-8"?>
<sst xmlns="http://schemas.openxmlformats.org/spreadsheetml/2006/main" count="67" uniqueCount="39">
  <si>
    <t>請　求　書</t>
  </si>
  <si>
    <t>スズキサトミ</t>
  </si>
  <si>
    <t>御中</t>
  </si>
  <si>
    <t>発行日</t>
  </si>
  <si>
    <t>登録番号</t>
  </si>
  <si>
    <t>-</t>
  </si>
  <si>
    <t>氏名：</t>
  </si>
  <si>
    <t>郵便番号：</t>
  </si>
  <si>
    <t>下記のとおり御請求申し上げます。</t>
  </si>
  <si>
    <t>住所：</t>
  </si>
  <si>
    <t>ご請求金額</t>
  </si>
  <si>
    <t>（税込）</t>
  </si>
  <si>
    <t>TEL :</t>
  </si>
  <si>
    <t>お支払期限</t>
  </si>
  <si>
    <t>No.</t>
  </si>
  <si>
    <t>品　　　　名</t>
  </si>
  <si>
    <t>数量</t>
  </si>
  <si>
    <t>単位</t>
  </si>
  <si>
    <t>単価</t>
  </si>
  <si>
    <t>金　　額</t>
  </si>
  <si>
    <t>摘要</t>
  </si>
  <si>
    <t>[振込先]</t>
  </si>
  <si>
    <t>合　　計</t>
  </si>
  <si>
    <t>普通</t>
  </si>
  <si>
    <t>名義</t>
  </si>
  <si>
    <t>お名前</t>
  </si>
  <si>
    <t>ご住所</t>
  </si>
  <si>
    <t>リタイアchNo132原稿</t>
  </si>
  <si>
    <t>件</t>
  </si>
  <si>
    <t>リタイアchNo132のサムネ・タイトル</t>
  </si>
  <si>
    <t>リタイアchNo133原稿</t>
  </si>
  <si>
    <t>リタイアchNo133のサムネ・タイトル</t>
  </si>
  <si>
    <t>リタイアchNo134原稿</t>
  </si>
  <si>
    <t>リタイアchNo134のサムネ・タイトル</t>
  </si>
  <si>
    <t>リタイアchNo135原稿</t>
  </si>
  <si>
    <t>リタイアchNo135のサムネ・タイトル</t>
  </si>
  <si>
    <t>銀行名</t>
  </si>
  <si>
    <t>口座番号</t>
  </si>
  <si>
    <t>○○○○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</si>
</sst>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/d"/>
    <numFmt numFmtId="165" formatCode="#,###"/>
    <numFmt numFmtId="166" formatCode="〒#######"/>
    <numFmt numFmtId="167" formatCode="&quot;¥&quot;#,##0;&quot;¥&quot;\-#,##0"/>
    <numFmt numFmtId="168" formatCode="#,##0_);[Red]\(#,##0\)"/>
    <numFmt numFmtId="169" formatCode="#,##0_ "/>
    <numFmt numFmtId="170" formatCode="#,##0;&quot;▲&quot;#,##0;#"/>
    <numFmt numFmtId="171" formatCode="[$¥]#,###"/>
    <numFmt numFmtId="172" formatCode="yyyy/mm/dd"/>
  </numFmts>
  <fonts count="23">
    <font>
      <sz val="10.0"/>
      <color rgb="FF000000"/>
      <name val="Arial"/>
      <scheme val="minor"/>
    </font>
    <font>
      <b/>
      <sz val="18.0"/>
      <color rgb="FF33475B"/>
      <name val="Avenir"/>
    </font>
    <font>
      <sz val="11.0"/>
      <color rgb="FF33475B"/>
      <name val="Avenir"/>
    </font>
    <font>
      <color rgb="FF33475B"/>
      <name val="Avenir"/>
    </font>
    <font>
      <sz val="20.0"/>
      <color rgb="FF33475B"/>
      <name val="Avenir"/>
    </font>
    <font>
      <sz val="10.0"/>
      <color rgb="FF33475B"/>
      <name val="Avenir"/>
    </font>
    <font>
      <sz val="14.0"/>
      <color rgb="FF33475B"/>
      <name val="Avenir"/>
    </font>
    <font>
      <b/>
      <sz val="12.0"/>
      <color rgb="FF33475B"/>
      <name val="Avenir"/>
    </font>
    <font>
      <b/>
      <sz val="10.0"/>
      <color rgb="FF33475B"/>
      <name val="Avenir"/>
    </font>
    <font>
      <b/>
      <sz val="14.0"/>
      <color rgb="FF33475B"/>
      <name val="Avenir"/>
    </font>
    <font>
      <sz val="9.0"/>
      <color rgb="FF33475B"/>
      <name val="Avenir"/>
    </font>
    <font>
      <b/>
      <sz val="16.0"/>
      <color rgb="FF33475B"/>
      <name val="Avenir"/>
    </font>
    <font>
      <sz val="11.0"/>
      <color theme="1"/>
      <name val="Avenir"/>
    </font>
    <font>
      <b/>
      <sz val="10.0"/>
      <color rgb="FFFFFFFF"/>
      <name val="Avenir"/>
    </font>
    <font/>
    <font>
      <color theme="1"/>
      <name val="Avenir"/>
    </font>
    <font>
      <sz val="20.0"/>
      <color theme="1"/>
      <name val="Avenir"/>
    </font>
    <font>
      <sz val="10.0"/>
      <color rgb="FF000000"/>
      <name val="Avenir"/>
    </font>
    <font>
      <color theme="1"/>
      <name val="Arial"/>
    </font>
    <font>
      <sz val="11.0"/>
      <color rgb="FFFFFFFF"/>
      <name val="Avenir"/>
    </font>
    <font>
      <b/>
      <sz val="11.0"/>
      <color rgb="FF33475B"/>
      <name val="Avenir"/>
    </font>
    <font>
      <sz val="12.0"/>
      <color rgb="FF33475B"/>
      <name val="Avenir"/>
    </font>
    <font>
      <sz val="8.0"/>
      <color rgb="FF33475B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475B"/>
        <bgColor rgb="FF33475B"/>
      </patternFill>
    </fill>
  </fills>
  <borders count="58">
    <border/>
    <border>
      <left style="thin">
        <color rgb="FF33475B"/>
      </left>
      <right style="thin">
        <color rgb="FF33475B"/>
      </right>
      <top style="thin">
        <color rgb="FF33475B"/>
      </top>
      <bottom style="thin">
        <color rgb="FF33475B"/>
      </bottom>
    </border>
    <border>
      <bottom style="medium">
        <color rgb="FF33475B"/>
      </bottom>
    </border>
    <border>
      <left style="medium">
        <color rgb="FF33475B"/>
      </left>
      <top style="medium">
        <color rgb="FF33475B"/>
      </top>
    </border>
    <border>
      <right style="medium">
        <color rgb="FF33475B"/>
      </right>
      <top style="medium">
        <color rgb="FF33475B"/>
      </top>
    </border>
    <border>
      <top style="medium">
        <color rgb="FF33475B"/>
      </top>
    </border>
    <border>
      <left style="medium">
        <color rgb="FF33475B"/>
      </left>
      <bottom style="medium">
        <color rgb="FF33475B"/>
      </bottom>
    </border>
    <border>
      <right style="medium">
        <color rgb="FF33475B"/>
      </right>
      <bottom style="medium">
        <color rgb="FF33475B"/>
      </bottom>
    </border>
    <border>
      <bottom style="thin">
        <color rgb="FF33475B"/>
      </bottom>
    </border>
    <border>
      <bottom style="thin">
        <color rgb="FF7C98B6"/>
      </bottom>
    </border>
    <border>
      <left style="thick">
        <color rgb="FF000000"/>
      </left>
      <right style="thin">
        <color rgb="FFFFFFFF"/>
      </right>
      <top style="thick">
        <color rgb="FF000000"/>
      </top>
      <bottom style="medium">
        <color rgb="FF33475B"/>
      </bottom>
    </border>
    <border>
      <left style="thin">
        <color rgb="FFFFFFFF"/>
      </left>
      <top style="thick">
        <color rgb="FF000000"/>
      </top>
      <bottom style="medium">
        <color rgb="FF33475B"/>
      </bottom>
    </border>
    <border>
      <right style="thin">
        <color rgb="FFFFFFFF"/>
      </right>
      <top style="thick">
        <color rgb="FF000000"/>
      </top>
      <bottom style="medium">
        <color rgb="FF33475B"/>
      </bottom>
    </border>
    <border>
      <left style="thin">
        <color rgb="FFFFFFFF"/>
      </left>
      <right style="thin">
        <color rgb="FFFFFFFF"/>
      </right>
      <top style="thick">
        <color rgb="FF000000"/>
      </top>
      <bottom style="medium">
        <color rgb="FF33475B"/>
      </bottom>
    </border>
    <border>
      <left style="thin">
        <color rgb="FFFFFFFF"/>
      </left>
      <right style="thick">
        <color rgb="FF000000"/>
      </right>
      <top style="thick">
        <color rgb="FF000000"/>
      </top>
      <bottom style="medium">
        <color rgb="FF33475B"/>
      </bottom>
    </border>
    <border>
      <left style="thick">
        <color rgb="FF000000"/>
      </left>
      <right style="thin">
        <color rgb="FF33475B"/>
      </right>
      <bottom style="thin">
        <color rgb="FF33475B"/>
      </bottom>
    </border>
    <border>
      <left style="thin">
        <color rgb="FF33475B"/>
      </left>
      <bottom style="thin">
        <color rgb="FF33475B"/>
      </bottom>
    </border>
    <border>
      <right style="thin">
        <color rgb="FF33475B"/>
      </right>
      <bottom style="thin">
        <color rgb="FF33475B"/>
      </bottom>
    </border>
    <border>
      <left style="thin">
        <color rgb="FF33475B"/>
      </left>
      <right style="thin">
        <color rgb="FF33475B"/>
      </right>
      <bottom style="thin">
        <color rgb="FF33475B"/>
      </bottom>
    </border>
    <border>
      <left style="thin">
        <color rgb="FF33475B"/>
      </left>
      <right style="thick">
        <color rgb="FF000000"/>
      </right>
      <bottom style="thin">
        <color rgb="FF33475B"/>
      </bottom>
    </border>
    <border>
      <left style="thin">
        <color rgb="FF33475B"/>
      </left>
      <top style="thin">
        <color rgb="FF33475B"/>
      </top>
      <bottom style="thin">
        <color rgb="FF33475B"/>
      </bottom>
    </border>
    <border>
      <left style="thin">
        <color rgb="FF33475B"/>
      </left>
      <right style="thick">
        <color rgb="FF000000"/>
      </right>
      <top style="thin">
        <color rgb="FF33475B"/>
      </top>
      <bottom style="thin">
        <color rgb="FF33475B"/>
      </bottom>
    </border>
    <border>
      <right style="thin">
        <color rgb="FF33475B"/>
      </right>
      <top style="thin">
        <color rgb="FF33475B"/>
      </top>
      <bottom style="thin">
        <color rgb="FF33475B"/>
      </bottom>
    </border>
    <border>
      <left style="thin">
        <color rgb="FF33475B"/>
      </left>
      <top style="thin">
        <color rgb="FF33475B"/>
      </top>
    </border>
    <border>
      <right style="thin">
        <color rgb="FF33475B"/>
      </right>
      <top style="thin">
        <color rgb="FF33475B"/>
      </top>
    </border>
    <border>
      <left style="thin">
        <color rgb="FF33475B"/>
      </left>
      <top style="thin">
        <color rgb="FF000000"/>
      </top>
      <bottom style="thin">
        <color rgb="FF000000"/>
      </bottom>
    </border>
    <border>
      <right style="thin">
        <color rgb="FF33475B"/>
      </right>
      <top style="thin">
        <color rgb="FF000000"/>
      </top>
      <bottom style="thin">
        <color rgb="FF000000"/>
      </bottom>
    </border>
    <border>
      <left style="thin">
        <color rgb="FF33475B"/>
      </left>
      <top style="thin">
        <color rgb="FF33475B"/>
      </top>
      <bottom style="thin">
        <color rgb="FF000000"/>
      </bottom>
    </border>
    <border>
      <right style="thin">
        <color rgb="FF33475B"/>
      </right>
      <top style="thin">
        <color rgb="FF33475B"/>
      </top>
      <bottom style="thin">
        <color rgb="FF000000"/>
      </bottom>
    </border>
    <border>
      <left style="thin">
        <color rgb="FF33475B"/>
      </left>
      <right style="thin">
        <color rgb="FF33475B"/>
      </right>
      <bottom style="thin">
        <color rgb="FF000000"/>
      </bottom>
    </border>
    <border>
      <left style="thin">
        <color rgb="FF33475B"/>
      </left>
      <right style="thick">
        <color rgb="FF000000"/>
      </right>
      <top style="thin">
        <color rgb="FF33475B"/>
      </top>
    </border>
    <border>
      <left style="thick">
        <color rgb="FF000000"/>
      </left>
      <right style="thin">
        <color rgb="FF33475B"/>
      </right>
      <bottom style="thick">
        <color rgb="FF000000"/>
      </bottom>
    </border>
    <border>
      <left style="thin">
        <color rgb="FF33475B"/>
      </left>
      <top style="thin">
        <color rgb="FF33475B"/>
      </top>
      <bottom style="thick">
        <color rgb="FF000000"/>
      </bottom>
    </border>
    <border>
      <right style="thin">
        <color rgb="FF33475B"/>
      </right>
      <top style="thin">
        <color rgb="FF33475B"/>
      </top>
      <bottom style="thick">
        <color rgb="FF000000"/>
      </bottom>
    </border>
    <border>
      <left style="thin">
        <color rgb="FF33475B"/>
      </left>
      <right style="thin">
        <color rgb="FF33475B"/>
      </right>
      <top style="thin">
        <color rgb="FF33475B"/>
      </top>
      <bottom style="thick">
        <color rgb="FF000000"/>
      </bottom>
    </border>
    <border>
      <left style="thin">
        <color rgb="FF33475B"/>
      </left>
      <right style="thin">
        <color rgb="FF33475B"/>
      </right>
      <bottom style="thick">
        <color rgb="FF000000"/>
      </bottom>
    </border>
    <border>
      <left style="thin">
        <color rgb="FF33475B"/>
      </left>
      <right style="thick">
        <color rgb="FF000000"/>
      </right>
      <top style="thin">
        <color rgb="FF33475B"/>
      </top>
      <bottom style="thick">
        <color rgb="FF000000"/>
      </bottom>
    </border>
    <border>
      <top style="thin">
        <color rgb="FF33475B"/>
      </top>
      <bottom style="thin">
        <color rgb="FF33475B"/>
      </bottom>
    </border>
    <border>
      <left style="medium">
        <color rgb="FF000000"/>
      </left>
      <right style="thin">
        <color rgb="FF33475B"/>
      </right>
      <top style="medium">
        <color rgb="FF000000"/>
      </top>
      <bottom style="medium">
        <color rgb="FF000000"/>
      </bottom>
    </border>
    <border>
      <left style="thin">
        <color rgb="FF33475B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33475B"/>
      </left>
    </border>
    <border>
      <right style="thin">
        <color rgb="FF33475B"/>
      </right>
    </border>
    <border>
      <left style="medium">
        <color rgb="FF33475B"/>
      </left>
      <right style="thin">
        <color rgb="FFFFFFFF"/>
      </right>
      <top style="medium">
        <color rgb="FF33475B"/>
      </top>
      <bottom style="medium">
        <color rgb="FF33475B"/>
      </bottom>
    </border>
    <border>
      <left style="thin">
        <color rgb="FFFFFFFF"/>
      </left>
      <top style="medium">
        <color rgb="FF33475B"/>
      </top>
      <bottom style="medium">
        <color rgb="FF33475B"/>
      </bottom>
    </border>
    <border>
      <right style="thin">
        <color rgb="FFFFFFFF"/>
      </right>
      <top style="medium">
        <color rgb="FF33475B"/>
      </top>
      <bottom style="medium">
        <color rgb="FF33475B"/>
      </bottom>
    </border>
    <border>
      <left style="thin">
        <color rgb="FFFFFFFF"/>
      </left>
      <right style="thin">
        <color rgb="FFFFFFFF"/>
      </right>
      <top style="medium">
        <color rgb="FF33475B"/>
      </top>
      <bottom style="medium">
        <color rgb="FF33475B"/>
      </bottom>
    </border>
    <border>
      <left style="thin">
        <color rgb="FFFFFFFF"/>
      </left>
      <right style="medium">
        <color rgb="FF33475B"/>
      </right>
      <top style="medium">
        <color rgb="FF33475B"/>
      </top>
      <bottom style="medium">
        <color rgb="FF33475B"/>
      </bottom>
    </border>
    <border>
      <left style="medium">
        <color rgb="FF33475B"/>
      </left>
      <right style="thin">
        <color rgb="FF33475B"/>
      </right>
      <bottom style="thin">
        <color rgb="FF33475B"/>
      </bottom>
    </border>
    <border>
      <left style="thin">
        <color rgb="FF33475B"/>
      </left>
      <right style="medium">
        <color rgb="FF33475B"/>
      </right>
      <bottom style="thin">
        <color rgb="FF33475B"/>
      </bottom>
    </border>
    <border>
      <left style="thin">
        <color rgb="FF33475B"/>
      </left>
      <right style="medium">
        <color rgb="FF33475B"/>
      </right>
      <top style="thin">
        <color rgb="FF33475B"/>
      </top>
      <bottom style="thin">
        <color rgb="FF33475B"/>
      </bottom>
    </border>
    <border>
      <left style="medium">
        <color rgb="FF33475B"/>
      </left>
      <right style="thin">
        <color rgb="FF33475B"/>
      </right>
      <bottom style="medium">
        <color rgb="FF33475B"/>
      </bottom>
    </border>
    <border>
      <left style="thin">
        <color rgb="FF33475B"/>
      </left>
      <top style="thin">
        <color rgb="FF33475B"/>
      </top>
      <bottom style="medium">
        <color rgb="FF33475B"/>
      </bottom>
    </border>
    <border>
      <right style="thin">
        <color rgb="FF33475B"/>
      </right>
      <top style="thin">
        <color rgb="FF33475B"/>
      </top>
      <bottom style="medium">
        <color rgb="FF33475B"/>
      </bottom>
    </border>
    <border>
      <left style="thin">
        <color rgb="FF33475B"/>
      </left>
      <right style="thin">
        <color rgb="FF33475B"/>
      </right>
      <top style="thin">
        <color rgb="FF33475B"/>
      </top>
      <bottom style="medium">
        <color rgb="FF33475B"/>
      </bottom>
    </border>
    <border>
      <left style="thin">
        <color rgb="FF33475B"/>
      </left>
      <right style="thin">
        <color rgb="FF33475B"/>
      </right>
      <bottom style="medium">
        <color rgb="FF33475B"/>
      </bottom>
    </border>
    <border>
      <left style="thin">
        <color rgb="FF33475B"/>
      </left>
      <right style="medium">
        <color rgb="FF33475B"/>
      </right>
      <top style="thin">
        <color rgb="FF33475B"/>
      </top>
      <bottom style="medium">
        <color rgb="FF33475B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1" vertical="center" wrapText="0"/>
    </xf>
    <xf borderId="0" fillId="0" fontId="2" numFmtId="0" xfId="0" applyAlignment="1" applyFont="1">
      <alignment vertical="center"/>
    </xf>
    <xf borderId="0" fillId="0" fontId="3" numFmtId="0" xfId="0" applyFont="1"/>
    <xf borderId="0" fillId="2" fontId="2" numFmtId="0" xfId="0" applyFill="1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0" fontId="5" numFmtId="49" xfId="0" applyAlignment="1" applyBorder="1" applyFont="1" applyNumberFormat="1">
      <alignment horizontal="right" vertical="center"/>
    </xf>
    <xf borderId="1" fillId="0" fontId="5" numFmtId="164" xfId="0" applyAlignment="1" applyBorder="1" applyFont="1" applyNumberFormat="1">
      <alignment horizontal="center" readingOrder="0" shrinkToFit="1" vertical="center" wrapText="0"/>
    </xf>
    <xf borderId="2" fillId="0" fontId="6" numFmtId="0" xfId="0" applyAlignment="1" applyBorder="1" applyFont="1">
      <alignment horizontal="left" vertical="center"/>
    </xf>
    <xf borderId="2" fillId="0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" fillId="0" fontId="5" numFmtId="0" xfId="0" applyAlignment="1" applyBorder="1" applyFont="1">
      <alignment horizontal="center" shrinkToFit="1" vertical="center" wrapText="0"/>
    </xf>
    <xf borderId="0" fillId="0" fontId="2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6" numFmtId="165" xfId="0" applyAlignment="1" applyFont="1" applyNumberFormat="1">
      <alignment horizontal="left" shrinkToFit="1" vertical="center" wrapText="0"/>
    </xf>
    <xf borderId="0" fillId="0" fontId="3" numFmtId="49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5" numFmtId="0" xfId="0" applyAlignment="1" applyFont="1">
      <alignment horizontal="left" vertical="center"/>
    </xf>
    <xf borderId="0" fillId="0" fontId="3" numFmtId="49" xfId="0" applyAlignment="1" applyFont="1" applyNumberFormat="1">
      <alignment readingOrder="0" shrinkToFit="0" wrapText="0"/>
    </xf>
    <xf borderId="0" fillId="0" fontId="10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shrinkToFit="1" vertical="center" wrapText="0"/>
    </xf>
    <xf borderId="0" fillId="0" fontId="5" numFmtId="167" xfId="0" applyAlignment="1" applyFont="1" applyNumberFormat="1">
      <alignment horizontal="center" shrinkToFit="1" vertical="center" wrapText="0"/>
    </xf>
    <xf borderId="0" fillId="0" fontId="5" numFmtId="49" xfId="0" applyAlignment="1" applyFont="1" applyNumberFormat="1">
      <alignment horizontal="right" shrinkToFit="1" vertical="center" wrapText="0"/>
    </xf>
    <xf borderId="0" fillId="0" fontId="12" numFmtId="0" xfId="0" applyAlignment="1" applyFont="1">
      <alignment vertical="center"/>
    </xf>
    <xf borderId="3" fillId="3" fontId="13" numFmtId="0" xfId="0" applyAlignment="1" applyBorder="1" applyFill="1" applyFont="1">
      <alignment horizontal="center" vertical="center"/>
    </xf>
    <xf borderId="4" fillId="0" fontId="14" numFmtId="0" xfId="0" applyBorder="1" applyFont="1"/>
    <xf borderId="5" fillId="0" fontId="11" numFmtId="167" xfId="0" applyAlignment="1" applyBorder="1" applyFont="1" applyNumberFormat="1">
      <alignment horizontal="center" readingOrder="0" shrinkToFit="1" vertical="center" wrapText="0"/>
    </xf>
    <xf borderId="4" fillId="0" fontId="5" numFmtId="167" xfId="0" applyAlignment="1" applyBorder="1" applyFont="1" applyNumberFormat="1">
      <alignment horizontal="center" shrinkToFit="1" vertical="center" wrapText="0"/>
    </xf>
    <xf borderId="0" fillId="0" fontId="15" numFmtId="0" xfId="0" applyFont="1"/>
    <xf borderId="0" fillId="0" fontId="3" numFmtId="49" xfId="0" applyAlignment="1" applyFont="1" applyNumberFormat="1">
      <alignment horizontal="right" readingOrder="0"/>
    </xf>
    <xf borderId="0" fillId="0" fontId="16" numFmtId="0" xfId="0" applyAlignment="1" applyFont="1">
      <alignment vertical="center"/>
    </xf>
    <xf borderId="6" fillId="0" fontId="14" numFmtId="0" xfId="0" applyBorder="1" applyFont="1"/>
    <xf borderId="7" fillId="0" fontId="14" numFmtId="0" xfId="0" applyBorder="1" applyFont="1"/>
    <xf borderId="2" fillId="0" fontId="14" numFmtId="0" xfId="0" applyBorder="1" applyFont="1"/>
    <xf borderId="0" fillId="0" fontId="17" numFmtId="49" xfId="0" applyAlignment="1" applyFont="1" applyNumberFormat="1">
      <alignment horizontal="right" shrinkToFit="1" vertical="center" wrapText="0"/>
    </xf>
    <xf borderId="0" fillId="0" fontId="5" numFmtId="0" xfId="0" applyAlignment="1" applyFont="1">
      <alignment horizontal="right" vertical="center"/>
    </xf>
    <xf borderId="8" fillId="0" fontId="5" numFmtId="0" xfId="0" applyAlignment="1" applyBorder="1" applyFont="1">
      <alignment horizontal="center" vertical="center"/>
    </xf>
    <xf borderId="8" fillId="0" fontId="14" numFmtId="0" xfId="0" applyBorder="1" applyFont="1"/>
    <xf borderId="8" fillId="0" fontId="2" numFmtId="164" xfId="0" applyAlignment="1" applyBorder="1" applyFont="1" applyNumberFormat="1">
      <alignment horizontal="center" readingOrder="0" vertical="center"/>
    </xf>
    <xf borderId="0" fillId="0" fontId="18" numFmtId="0" xfId="0" applyFont="1"/>
    <xf borderId="9" fillId="0" fontId="18" numFmtId="0" xfId="0" applyBorder="1" applyFont="1"/>
    <xf borderId="10" fillId="3" fontId="19" numFmtId="0" xfId="0" applyAlignment="1" applyBorder="1" applyFont="1">
      <alignment horizontal="center" vertical="center"/>
    </xf>
    <xf borderId="11" fillId="3" fontId="19" numFmtId="0" xfId="0" applyAlignment="1" applyBorder="1" applyFont="1">
      <alignment horizontal="center" vertical="center"/>
    </xf>
    <xf borderId="12" fillId="0" fontId="14" numFmtId="0" xfId="0" applyBorder="1" applyFont="1"/>
    <xf borderId="13" fillId="3" fontId="19" numFmtId="0" xfId="0" applyAlignment="1" applyBorder="1" applyFont="1">
      <alignment horizontal="center" vertical="center"/>
    </xf>
    <xf borderId="14" fillId="3" fontId="19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shrinkToFit="1" vertical="center" wrapText="0"/>
    </xf>
    <xf borderId="16" fillId="0" fontId="3" numFmtId="0" xfId="0" applyAlignment="1" applyBorder="1" applyFont="1">
      <alignment horizontal="left" readingOrder="0" vertical="center"/>
    </xf>
    <xf borderId="17" fillId="0" fontId="14" numFmtId="0" xfId="0" applyBorder="1" applyFont="1"/>
    <xf borderId="18" fillId="0" fontId="3" numFmtId="168" xfId="0" applyAlignment="1" applyBorder="1" applyFont="1" applyNumberFormat="1">
      <alignment horizontal="right" readingOrder="0"/>
    </xf>
    <xf borderId="18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right" readingOrder="0"/>
    </xf>
    <xf borderId="16" fillId="0" fontId="3" numFmtId="165" xfId="0" applyAlignment="1" applyBorder="1" applyFont="1" applyNumberFormat="1">
      <alignment horizontal="right" readingOrder="0"/>
    </xf>
    <xf borderId="19" fillId="0" fontId="18" numFmtId="49" xfId="0" applyAlignment="1" applyBorder="1" applyFont="1" applyNumberFormat="1">
      <alignment readingOrder="0"/>
    </xf>
    <xf borderId="20" fillId="0" fontId="3" numFmtId="165" xfId="0" applyAlignment="1" applyBorder="1" applyFont="1" applyNumberFormat="1">
      <alignment horizontal="right" readingOrder="0"/>
    </xf>
    <xf borderId="21" fillId="0" fontId="18" numFmtId="49" xfId="0" applyAlignment="1" applyBorder="1" applyFont="1" applyNumberFormat="1">
      <alignment readingOrder="0"/>
    </xf>
    <xf borderId="1" fillId="0" fontId="3" numFmtId="168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center" readingOrder="0"/>
    </xf>
    <xf borderId="21" fillId="0" fontId="18" numFmtId="49" xfId="0" applyBorder="1" applyFont="1" applyNumberFormat="1"/>
    <xf borderId="21" fillId="0" fontId="5" numFmtId="49" xfId="0" applyAlignment="1" applyBorder="1" applyFont="1" applyNumberFormat="1">
      <alignment shrinkToFit="1" vertical="center" wrapText="0"/>
    </xf>
    <xf borderId="18" fillId="0" fontId="5" numFmtId="168" xfId="0" applyAlignment="1" applyBorder="1" applyFont="1" applyNumberFormat="1">
      <alignment horizontal="right" readingOrder="0" shrinkToFit="1" vertical="center" wrapText="0"/>
    </xf>
    <xf borderId="20" fillId="0" fontId="5" numFmtId="0" xfId="0" applyAlignment="1" applyBorder="1" applyFont="1">
      <alignment horizontal="left" readingOrder="0" shrinkToFit="1" vertical="center" wrapText="0"/>
    </xf>
    <xf borderId="22" fillId="0" fontId="14" numFmtId="0" xfId="0" applyBorder="1" applyFont="1"/>
    <xf borderId="1" fillId="0" fontId="3" numFmtId="165" xfId="0" applyAlignment="1" applyBorder="1" applyFont="1" applyNumberFormat="1">
      <alignment horizontal="right"/>
    </xf>
    <xf borderId="20" fillId="0" fontId="3" numFmtId="165" xfId="0" applyAlignment="1" applyBorder="1" applyFont="1" applyNumberFormat="1">
      <alignment horizontal="right"/>
    </xf>
    <xf borderId="23" fillId="0" fontId="5" numFmtId="0" xfId="0" applyAlignment="1" applyBorder="1" applyFont="1">
      <alignment horizontal="left" readingOrder="0" shrinkToFit="1" vertical="center" wrapText="0"/>
    </xf>
    <xf borderId="24" fillId="0" fontId="14" numFmtId="0" xfId="0" applyBorder="1" applyFont="1"/>
    <xf borderId="25" fillId="0" fontId="5" numFmtId="0" xfId="0" applyAlignment="1" applyBorder="1" applyFont="1">
      <alignment horizontal="left" readingOrder="0" shrinkToFit="1" vertical="center" wrapText="0"/>
    </xf>
    <xf borderId="26" fillId="0" fontId="14" numFmtId="0" xfId="0" applyBorder="1" applyFont="1"/>
    <xf borderId="16" fillId="0" fontId="5" numFmtId="0" xfId="0" applyAlignment="1" applyBorder="1" applyFont="1">
      <alignment horizontal="left" readingOrder="0" shrinkToFit="1" vertical="center" wrapText="0"/>
    </xf>
    <xf borderId="27" fillId="0" fontId="5" numFmtId="0" xfId="0" applyAlignment="1" applyBorder="1" applyFont="1">
      <alignment horizontal="left" readingOrder="0" shrinkToFit="1" vertical="center" wrapText="0"/>
    </xf>
    <xf borderId="28" fillId="0" fontId="14" numFmtId="0" xfId="0" applyBorder="1" applyFont="1"/>
    <xf borderId="29" fillId="0" fontId="5" numFmtId="168" xfId="0" applyAlignment="1" applyBorder="1" applyFont="1" applyNumberFormat="1">
      <alignment horizontal="right" readingOrder="0" shrinkToFit="1" vertical="center" wrapText="0"/>
    </xf>
    <xf borderId="23" fillId="0" fontId="3" numFmtId="165" xfId="0" applyAlignment="1" applyBorder="1" applyFont="1" applyNumberFormat="1">
      <alignment horizontal="right"/>
    </xf>
    <xf borderId="30" fillId="0" fontId="5" numFmtId="49" xfId="0" applyAlignment="1" applyBorder="1" applyFont="1" applyNumberFormat="1">
      <alignment shrinkToFit="1" vertical="center" wrapText="0"/>
    </xf>
    <xf borderId="31" fillId="0" fontId="5" numFmtId="0" xfId="0" applyAlignment="1" applyBorder="1" applyFont="1">
      <alignment horizontal="center" readingOrder="0" shrinkToFit="1" vertical="center" wrapText="0"/>
    </xf>
    <xf borderId="32" fillId="0" fontId="5" numFmtId="0" xfId="0" applyAlignment="1" applyBorder="1" applyFont="1">
      <alignment horizontal="left" readingOrder="0" shrinkToFit="1" vertical="center" wrapText="0"/>
    </xf>
    <xf borderId="33" fillId="0" fontId="14" numFmtId="0" xfId="0" applyBorder="1" applyFont="1"/>
    <xf borderId="34" fillId="0" fontId="3" numFmtId="168" xfId="0" applyAlignment="1" applyBorder="1" applyFont="1" applyNumberFormat="1">
      <alignment horizontal="right" readingOrder="0"/>
    </xf>
    <xf borderId="34" fillId="0" fontId="3" numFmtId="0" xfId="0" applyAlignment="1" applyBorder="1" applyFont="1">
      <alignment horizontal="center" readingOrder="0"/>
    </xf>
    <xf borderId="35" fillId="0" fontId="5" numFmtId="168" xfId="0" applyAlignment="1" applyBorder="1" applyFont="1" applyNumberFormat="1">
      <alignment horizontal="right" readingOrder="0" shrinkToFit="1" vertical="center" wrapText="0"/>
    </xf>
    <xf borderId="34" fillId="0" fontId="3" numFmtId="165" xfId="0" applyAlignment="1" applyBorder="1" applyFont="1" applyNumberFormat="1">
      <alignment horizontal="right"/>
    </xf>
    <xf borderId="32" fillId="0" fontId="3" numFmtId="165" xfId="0" applyAlignment="1" applyBorder="1" applyFont="1" applyNumberFormat="1">
      <alignment horizontal="right"/>
    </xf>
    <xf borderId="36" fillId="0" fontId="5" numFmtId="49" xfId="0" applyAlignment="1" applyBorder="1" applyFont="1" applyNumberFormat="1">
      <alignment shrinkToFit="1" vertical="center" wrapText="0"/>
    </xf>
    <xf borderId="0" fillId="0" fontId="20" numFmtId="49" xfId="0" applyAlignment="1" applyFont="1" applyNumberFormat="1">
      <alignment horizontal="center" shrinkToFit="1" vertical="center" wrapText="0"/>
    </xf>
    <xf borderId="0" fillId="0" fontId="2" numFmtId="49" xfId="0" applyAlignment="1" applyFont="1" applyNumberFormat="1">
      <alignment horizontal="center" shrinkToFit="1" vertical="center" wrapText="0"/>
    </xf>
    <xf borderId="0" fillId="0" fontId="20" numFmtId="0" xfId="0" applyAlignment="1" applyFont="1">
      <alignment horizontal="center" shrinkToFit="1" vertical="center" wrapText="0"/>
    </xf>
    <xf borderId="0" fillId="0" fontId="2" numFmtId="169" xfId="0" applyAlignment="1" applyFont="1" applyNumberFormat="1">
      <alignment shrinkToFit="1" vertical="center" wrapText="0"/>
    </xf>
    <xf borderId="0" fillId="0" fontId="6" numFmtId="170" xfId="0" applyAlignment="1" applyFont="1" applyNumberFormat="1">
      <alignment horizontal="center" vertical="center"/>
    </xf>
    <xf borderId="20" fillId="0" fontId="20" numFmtId="49" xfId="0" applyAlignment="1" applyBorder="1" applyFont="1" applyNumberFormat="1">
      <alignment horizontal="center" shrinkToFit="1" vertical="center" wrapText="0"/>
    </xf>
    <xf borderId="37" fillId="0" fontId="14" numFmtId="0" xfId="0" applyBorder="1" applyFont="1"/>
    <xf borderId="37" fillId="0" fontId="2" numFmtId="49" xfId="0" applyAlignment="1" applyBorder="1" applyFont="1" applyNumberFormat="1">
      <alignment readingOrder="0"/>
    </xf>
    <xf borderId="22" fillId="0" fontId="2" numFmtId="49" xfId="0" applyAlignment="1" applyBorder="1" applyFont="1" applyNumberFormat="1">
      <alignment horizontal="center" shrinkToFit="1" vertical="center" wrapText="0"/>
    </xf>
    <xf borderId="38" fillId="0" fontId="20" numFmtId="0" xfId="0" applyAlignment="1" applyBorder="1" applyFont="1">
      <alignment horizontal="center" shrinkToFit="1" vertical="center" wrapText="0"/>
    </xf>
    <xf borderId="39" fillId="0" fontId="2" numFmtId="171" xfId="0" applyAlignment="1" applyBorder="1" applyFont="1" applyNumberFormat="1">
      <alignment shrinkToFit="1" vertical="center" wrapText="0"/>
    </xf>
    <xf borderId="40" fillId="0" fontId="14" numFmtId="0" xfId="0" applyBorder="1" applyFont="1"/>
    <xf borderId="41" fillId="0" fontId="14" numFmtId="0" xfId="0" applyBorder="1" applyFont="1"/>
    <xf borderId="42" fillId="0" fontId="2" numFmtId="49" xfId="0" applyAlignment="1" applyBorder="1" applyFont="1" applyNumberFormat="1">
      <alignment horizontal="center" shrinkToFit="1" vertical="center" wrapText="0"/>
    </xf>
    <xf borderId="0" fillId="0" fontId="2" numFmtId="49" xfId="0" applyAlignment="1" applyFont="1" applyNumberFormat="1">
      <alignment readingOrder="0"/>
    </xf>
    <xf borderId="43" fillId="0" fontId="2" numFmtId="49" xfId="0" applyAlignment="1" applyBorder="1" applyFont="1" applyNumberFormat="1">
      <alignment horizontal="center" shrinkToFit="1" vertical="center" wrapText="0"/>
    </xf>
    <xf borderId="0" fillId="0" fontId="20" numFmtId="171" xfId="0" applyAlignment="1" applyFont="1" applyNumberFormat="1">
      <alignment horizontal="right" shrinkToFit="1" vertical="center" wrapText="0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readingOrder="0"/>
    </xf>
    <xf borderId="17" fillId="0" fontId="2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3" fillId="0" fontId="5" numFmtId="0" xfId="0" applyAlignment="1" applyBorder="1" applyFont="1">
      <alignment horizontal="left" shrinkToFit="1" vertical="top" wrapText="0"/>
    </xf>
    <xf borderId="5" fillId="0" fontId="14" numFmtId="0" xfId="0" applyBorder="1" applyFont="1"/>
    <xf borderId="8" fillId="0" fontId="18" numFmtId="0" xfId="0" applyAlignment="1" applyBorder="1" applyFont="1">
      <alignment readingOrder="0"/>
    </xf>
    <xf borderId="0" fillId="0" fontId="22" numFmtId="0" xfId="0" applyAlignment="1" applyFont="1">
      <alignment horizontal="right" vertical="center"/>
    </xf>
    <xf borderId="1" fillId="0" fontId="5" numFmtId="172" xfId="0" applyAlignment="1" applyBorder="1" applyFont="1" applyNumberFormat="1">
      <alignment horizontal="center" readingOrder="0" shrinkToFit="1" vertical="center" wrapText="0"/>
    </xf>
    <xf borderId="1" fillId="0" fontId="5" numFmtId="0" xfId="0" applyAlignment="1" applyBorder="1" applyFont="1">
      <alignment horizontal="center" readingOrder="0" shrinkToFit="1" vertical="center" wrapText="0"/>
    </xf>
    <xf borderId="0" fillId="0" fontId="5" numFmtId="49" xfId="0" applyAlignment="1" applyFont="1" applyNumberFormat="1">
      <alignment horizontal="left" readingOrder="0" shrinkToFit="1" vertical="center" wrapText="0"/>
    </xf>
    <xf borderId="0" fillId="0" fontId="5" numFmtId="166" xfId="0" applyAlignment="1" applyFont="1" applyNumberFormat="1">
      <alignment horizontal="left" readingOrder="0" shrinkToFit="1" vertical="center" wrapText="0"/>
    </xf>
    <xf borderId="5" fillId="0" fontId="11" numFmtId="167" xfId="0" applyAlignment="1" applyBorder="1" applyFont="1" applyNumberFormat="1">
      <alignment horizontal="center" shrinkToFit="1" vertical="center" wrapText="0"/>
    </xf>
    <xf borderId="0" fillId="0" fontId="5" numFmtId="49" xfId="0" applyAlignment="1" applyFont="1" applyNumberFormat="1">
      <alignment horizontal="right" readingOrder="0" shrinkToFit="1" vertical="center" wrapText="0"/>
    </xf>
    <xf borderId="8" fillId="0" fontId="2" numFmtId="172" xfId="0" applyAlignment="1" applyBorder="1" applyFont="1" applyNumberFormat="1">
      <alignment horizontal="center" readingOrder="0" vertical="center"/>
    </xf>
    <xf borderId="9" fillId="0" fontId="5" numFmtId="0" xfId="0" applyAlignment="1" applyBorder="1" applyFont="1">
      <alignment vertical="center"/>
    </xf>
    <xf borderId="44" fillId="3" fontId="19" numFmtId="0" xfId="0" applyAlignment="1" applyBorder="1" applyFont="1">
      <alignment horizontal="center" vertical="center"/>
    </xf>
    <xf borderId="45" fillId="3" fontId="19" numFmtId="0" xfId="0" applyAlignment="1" applyBorder="1" applyFont="1">
      <alignment horizontal="center" vertical="center"/>
    </xf>
    <xf borderId="46" fillId="0" fontId="14" numFmtId="0" xfId="0" applyBorder="1" applyFont="1"/>
    <xf borderId="47" fillId="3" fontId="19" numFmtId="0" xfId="0" applyAlignment="1" applyBorder="1" applyFont="1">
      <alignment horizontal="center" vertical="center"/>
    </xf>
    <xf borderId="48" fillId="3" fontId="19" numFmtId="0" xfId="0" applyAlignment="1" applyBorder="1" applyFont="1">
      <alignment horizontal="center" vertical="center"/>
    </xf>
    <xf borderId="49" fillId="0" fontId="5" numFmtId="0" xfId="0" applyAlignment="1" applyBorder="1" applyFont="1">
      <alignment horizontal="center" shrinkToFit="1" vertical="center" wrapText="0"/>
    </xf>
    <xf borderId="18" fillId="0" fontId="5" numFmtId="0" xfId="0" applyAlignment="1" applyBorder="1" applyFont="1">
      <alignment horizontal="center" shrinkToFit="1" vertical="center" wrapText="0"/>
    </xf>
    <xf borderId="18" fillId="0" fontId="5" numFmtId="165" xfId="0" applyAlignment="1" applyBorder="1" applyFont="1" applyNumberFormat="1">
      <alignment horizontal="right" shrinkToFit="1" vertical="center" wrapText="0"/>
    </xf>
    <xf borderId="50" fillId="0" fontId="5" numFmtId="49" xfId="0" applyAlignment="1" applyBorder="1" applyFont="1" applyNumberFormat="1">
      <alignment shrinkToFit="1" vertical="center" wrapText="0"/>
    </xf>
    <xf borderId="1" fillId="0" fontId="5" numFmtId="168" xfId="0" applyAlignment="1" applyBorder="1" applyFont="1" applyNumberFormat="1">
      <alignment horizontal="right" readingOrder="0" shrinkToFit="1" vertical="center" wrapText="0"/>
    </xf>
    <xf borderId="1" fillId="0" fontId="5" numFmtId="165" xfId="0" applyAlignment="1" applyBorder="1" applyFont="1" applyNumberFormat="1">
      <alignment horizontal="right" shrinkToFit="1" vertical="center" wrapText="0"/>
    </xf>
    <xf borderId="51" fillId="0" fontId="5" numFmtId="49" xfId="0" applyAlignment="1" applyBorder="1" applyFont="1" applyNumberFormat="1">
      <alignment shrinkToFit="1" vertical="center" wrapText="0"/>
    </xf>
    <xf borderId="1" fillId="0" fontId="5" numFmtId="168" xfId="0" applyAlignment="1" applyBorder="1" applyFont="1" applyNumberFormat="1">
      <alignment horizontal="right" shrinkToFit="1" vertical="center" wrapText="0"/>
    </xf>
    <xf borderId="20" fillId="0" fontId="5" numFmtId="0" xfId="0" applyAlignment="1" applyBorder="1" applyFont="1">
      <alignment horizontal="left" shrinkToFit="1" vertical="center" wrapText="0"/>
    </xf>
    <xf borderId="18" fillId="0" fontId="5" numFmtId="168" xfId="0" applyAlignment="1" applyBorder="1" applyFont="1" applyNumberFormat="1">
      <alignment horizontal="right" shrinkToFit="1" vertical="center" wrapText="0"/>
    </xf>
    <xf borderId="52" fillId="0" fontId="5" numFmtId="0" xfId="0" applyAlignment="1" applyBorder="1" applyFont="1">
      <alignment horizontal="center" shrinkToFit="1" vertical="center" wrapText="0"/>
    </xf>
    <xf borderId="53" fillId="0" fontId="5" numFmtId="0" xfId="0" applyAlignment="1" applyBorder="1" applyFont="1">
      <alignment horizontal="left" shrinkToFit="1" vertical="center" wrapText="0"/>
    </xf>
    <xf borderId="54" fillId="0" fontId="14" numFmtId="0" xfId="0" applyBorder="1" applyFont="1"/>
    <xf borderId="55" fillId="0" fontId="5" numFmtId="168" xfId="0" applyAlignment="1" applyBorder="1" applyFont="1" applyNumberFormat="1">
      <alignment horizontal="right" shrinkToFit="1" vertical="center" wrapText="0"/>
    </xf>
    <xf borderId="55" fillId="0" fontId="5" numFmtId="0" xfId="0" applyAlignment="1" applyBorder="1" applyFont="1">
      <alignment horizontal="center" shrinkToFit="1" vertical="center" wrapText="0"/>
    </xf>
    <xf borderId="56" fillId="0" fontId="5" numFmtId="168" xfId="0" applyAlignment="1" applyBorder="1" applyFont="1" applyNumberFormat="1">
      <alignment horizontal="right" shrinkToFit="1" vertical="center" wrapText="0"/>
    </xf>
    <xf borderId="55" fillId="0" fontId="5" numFmtId="165" xfId="0" applyAlignment="1" applyBorder="1" applyFont="1" applyNumberFormat="1">
      <alignment horizontal="right" shrinkToFit="1" vertical="center" wrapText="0"/>
    </xf>
    <xf borderId="57" fillId="0" fontId="5" numFmtId="49" xfId="0" applyAlignment="1" applyBorder="1" applyFont="1" applyNumberFormat="1">
      <alignment shrinkToFit="1" vertical="center" wrapText="0"/>
    </xf>
    <xf borderId="37" fillId="0" fontId="2" numFmtId="49" xfId="0" applyAlignment="1" applyBorder="1" applyFont="1" applyNumberFormat="1">
      <alignment horizontal="left" readingOrder="0" shrinkToFit="1" vertical="center" wrapText="0"/>
    </xf>
    <xf borderId="0" fillId="0" fontId="2" numFmtId="49" xfId="0" applyAlignment="1" applyFont="1" applyNumberFormat="1">
      <alignment horizontal="left" readingOrder="0" shrinkToFit="1" vertical="center" wrapText="0"/>
    </xf>
    <xf borderId="8" fillId="0" fontId="2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75B"/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5.0"/>
    <col customWidth="1" min="3" max="3" width="7.75"/>
    <col customWidth="1" min="4" max="4" width="27.38"/>
    <col customWidth="1" min="5" max="5" width="7.88"/>
    <col customWidth="1" min="6" max="6" width="8.63"/>
    <col customWidth="1" min="7" max="7" width="24.88"/>
    <col customWidth="1" min="8" max="9" width="10.25"/>
    <col customWidth="1" min="10" max="10" width="16.13"/>
    <col customWidth="1" min="11" max="11" width="2.5"/>
  </cols>
  <sheetData>
    <row r="1" ht="35.25" customHeight="1">
      <c r="A1" s="1"/>
      <c r="B1" s="2" t="s">
        <v>0</v>
      </c>
      <c r="K1" s="1"/>
    </row>
    <row r="2" ht="11.25" customHeight="1">
      <c r="A2" s="3"/>
      <c r="B2" s="3"/>
      <c r="C2" s="3"/>
      <c r="D2" s="4"/>
      <c r="E2" s="3"/>
      <c r="F2" s="3"/>
      <c r="G2" s="3"/>
      <c r="H2" s="3"/>
      <c r="I2" s="3"/>
      <c r="J2" s="5"/>
      <c r="K2" s="6"/>
    </row>
    <row r="3" ht="19.5" customHeight="1">
      <c r="A3" s="7"/>
      <c r="B3" s="8" t="s">
        <v>1</v>
      </c>
      <c r="F3" s="9" t="s">
        <v>2</v>
      </c>
      <c r="G3" s="7"/>
      <c r="H3" s="10" t="s">
        <v>3</v>
      </c>
      <c r="I3" s="10"/>
      <c r="J3" s="11">
        <v>46152.0</v>
      </c>
      <c r="K3" s="7"/>
    </row>
    <row r="4" ht="19.5" customHeight="1">
      <c r="A4" s="7"/>
      <c r="B4" s="12"/>
      <c r="C4" s="12"/>
      <c r="D4" s="12"/>
      <c r="E4" s="12"/>
      <c r="F4" s="13"/>
      <c r="G4" s="14"/>
      <c r="H4" s="10" t="s">
        <v>4</v>
      </c>
      <c r="I4" s="10"/>
      <c r="J4" s="15" t="s">
        <v>5</v>
      </c>
      <c r="K4" s="7"/>
    </row>
    <row r="5" ht="10.5" customHeight="1">
      <c r="A5" s="3"/>
      <c r="B5" s="16"/>
      <c r="C5" s="16"/>
      <c r="K5" s="6"/>
    </row>
    <row r="6" ht="26.25" customHeight="1">
      <c r="A6" s="3"/>
      <c r="B6" s="17"/>
      <c r="D6" s="18"/>
      <c r="G6" s="4"/>
      <c r="H6" s="19" t="s">
        <v>6</v>
      </c>
      <c r="K6" s="6"/>
    </row>
    <row r="7" ht="15.75" customHeight="1">
      <c r="A7" s="3"/>
      <c r="B7" s="4"/>
      <c r="C7" s="4"/>
      <c r="D7" s="4"/>
      <c r="E7" s="4"/>
      <c r="F7" s="4"/>
      <c r="G7" s="4"/>
      <c r="H7" s="20" t="s">
        <v>7</v>
      </c>
      <c r="K7" s="6"/>
    </row>
    <row r="8" ht="15.75" customHeight="1">
      <c r="A8" s="3"/>
      <c r="B8" s="21" t="s">
        <v>8</v>
      </c>
      <c r="G8" s="4"/>
      <c r="H8" s="22" t="s">
        <v>9</v>
      </c>
      <c r="K8" s="6"/>
    </row>
    <row r="9" ht="15.75" customHeight="1">
      <c r="A9" s="3"/>
      <c r="B9" s="23"/>
      <c r="C9" s="23"/>
      <c r="D9" s="24"/>
      <c r="E9" s="25"/>
      <c r="F9" s="3"/>
      <c r="G9" s="26"/>
      <c r="H9" s="22"/>
      <c r="K9" s="6"/>
    </row>
    <row r="10" ht="15.75" customHeight="1">
      <c r="A10" s="27"/>
      <c r="B10" s="28" t="s">
        <v>10</v>
      </c>
      <c r="C10" s="29"/>
      <c r="D10" s="30"/>
      <c r="E10" s="31" t="s">
        <v>11</v>
      </c>
      <c r="F10" s="27"/>
      <c r="G10" s="32"/>
      <c r="H10" s="33" t="s">
        <v>12</v>
      </c>
      <c r="K10" s="34"/>
    </row>
    <row r="11" ht="15.75" customHeight="1">
      <c r="A11" s="27"/>
      <c r="B11" s="35"/>
      <c r="C11" s="36"/>
      <c r="D11" s="37"/>
      <c r="E11" s="36"/>
      <c r="F11" s="27"/>
      <c r="G11" s="32"/>
      <c r="H11" s="38"/>
      <c r="I11" s="38"/>
      <c r="J11" s="39"/>
      <c r="K11" s="34"/>
    </row>
    <row r="12" ht="18.75" customHeight="1">
      <c r="A12" s="3"/>
      <c r="B12" s="40" t="s">
        <v>13</v>
      </c>
      <c r="C12" s="41"/>
      <c r="D12" s="42">
        <v>46162.0</v>
      </c>
      <c r="E12" s="3"/>
      <c r="F12" s="3"/>
      <c r="G12" s="7"/>
      <c r="H12" s="43"/>
      <c r="I12" s="43"/>
      <c r="J12" s="44"/>
      <c r="K12" s="6"/>
    </row>
    <row r="13" ht="7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6"/>
    </row>
    <row r="14" ht="25.5" customHeight="1">
      <c r="A14" s="27"/>
      <c r="B14" s="45" t="s">
        <v>14</v>
      </c>
      <c r="C14" s="46" t="s">
        <v>15</v>
      </c>
      <c r="D14" s="47"/>
      <c r="E14" s="48" t="s">
        <v>16</v>
      </c>
      <c r="F14" s="48" t="s">
        <v>17</v>
      </c>
      <c r="G14" s="48" t="s">
        <v>18</v>
      </c>
      <c r="H14" s="48" t="s">
        <v>19</v>
      </c>
      <c r="I14" s="46"/>
      <c r="J14" s="49" t="s">
        <v>20</v>
      </c>
      <c r="K14" s="34"/>
    </row>
    <row r="15" ht="22.5" customHeight="1">
      <c r="A15" s="3"/>
      <c r="B15" s="50">
        <v>1.0</v>
      </c>
      <c r="C15" s="51"/>
      <c r="D15" s="52"/>
      <c r="E15" s="53"/>
      <c r="F15" s="54"/>
      <c r="G15" s="53"/>
      <c r="H15" s="55"/>
      <c r="I15" s="56"/>
      <c r="J15" s="57"/>
      <c r="K15" s="6"/>
    </row>
    <row r="16" ht="22.5" customHeight="1">
      <c r="A16" s="3"/>
      <c r="B16" s="50">
        <v>2.0</v>
      </c>
      <c r="C16" s="51"/>
      <c r="D16" s="52"/>
      <c r="E16" s="53"/>
      <c r="F16" s="54"/>
      <c r="G16" s="53"/>
      <c r="H16" s="55"/>
      <c r="I16" s="58"/>
      <c r="J16" s="59"/>
      <c r="K16" s="6"/>
    </row>
    <row r="17" ht="22.5" customHeight="1">
      <c r="A17" s="3"/>
      <c r="B17" s="50">
        <v>3.0</v>
      </c>
      <c r="C17" s="51"/>
      <c r="D17" s="52"/>
      <c r="E17" s="60"/>
      <c r="F17" s="61"/>
      <c r="G17" s="53"/>
      <c r="H17" s="55"/>
      <c r="I17" s="58"/>
      <c r="J17" s="62"/>
      <c r="K17" s="6"/>
    </row>
    <row r="18" ht="22.5" customHeight="1">
      <c r="A18" s="3"/>
      <c r="B18" s="50">
        <v>4.0</v>
      </c>
      <c r="C18" s="51"/>
      <c r="D18" s="52"/>
      <c r="E18" s="60"/>
      <c r="F18" s="61"/>
      <c r="G18" s="53"/>
      <c r="H18" s="55"/>
      <c r="I18" s="58"/>
      <c r="J18" s="62"/>
      <c r="K18" s="6"/>
    </row>
    <row r="19" ht="22.5" customHeight="1">
      <c r="A19" s="3"/>
      <c r="B19" s="50">
        <v>5.0</v>
      </c>
      <c r="C19" s="51"/>
      <c r="D19" s="52"/>
      <c r="E19" s="60"/>
      <c r="F19" s="61"/>
      <c r="G19" s="53"/>
      <c r="H19" s="55"/>
      <c r="I19" s="58"/>
      <c r="J19" s="63"/>
      <c r="K19" s="6"/>
    </row>
    <row r="20" ht="22.5" customHeight="1">
      <c r="A20" s="3"/>
      <c r="B20" s="50">
        <v>6.0</v>
      </c>
      <c r="C20" s="51"/>
      <c r="D20" s="52"/>
      <c r="E20" s="60"/>
      <c r="F20" s="61"/>
      <c r="G20" s="53"/>
      <c r="H20" s="55"/>
      <c r="I20" s="58"/>
      <c r="J20" s="63"/>
      <c r="K20" s="6"/>
    </row>
    <row r="21" ht="22.5" customHeight="1">
      <c r="A21" s="3"/>
      <c r="B21" s="50">
        <v>7.0</v>
      </c>
      <c r="C21" s="51"/>
      <c r="D21" s="52"/>
      <c r="E21" s="60"/>
      <c r="F21" s="61"/>
      <c r="G21" s="53"/>
      <c r="H21" s="55"/>
      <c r="I21" s="58"/>
      <c r="J21" s="63"/>
      <c r="K21" s="6"/>
    </row>
    <row r="22" ht="22.5" customHeight="1">
      <c r="A22" s="3"/>
      <c r="B22" s="50">
        <v>8.0</v>
      </c>
      <c r="C22" s="51"/>
      <c r="D22" s="52"/>
      <c r="E22" s="60"/>
      <c r="F22" s="61"/>
      <c r="G22" s="64"/>
      <c r="H22" s="55"/>
      <c r="I22" s="58"/>
      <c r="J22" s="63"/>
      <c r="K22" s="6"/>
    </row>
    <row r="23" ht="22.5" customHeight="1">
      <c r="A23" s="3"/>
      <c r="B23" s="50">
        <v>9.0</v>
      </c>
      <c r="C23" s="65"/>
      <c r="D23" s="66"/>
      <c r="E23" s="60"/>
      <c r="F23" s="61"/>
      <c r="G23" s="53"/>
      <c r="H23" s="67"/>
      <c r="I23" s="68"/>
      <c r="J23" s="63"/>
      <c r="K23" s="6"/>
    </row>
    <row r="24" ht="22.5" customHeight="1">
      <c r="A24" s="3"/>
      <c r="B24" s="50">
        <v>10.0</v>
      </c>
      <c r="C24" s="65"/>
      <c r="D24" s="66"/>
      <c r="E24" s="60"/>
      <c r="F24" s="61"/>
      <c r="G24" s="64"/>
      <c r="H24" s="67"/>
      <c r="I24" s="68"/>
      <c r="J24" s="63"/>
      <c r="K24" s="6"/>
    </row>
    <row r="25" ht="22.5" customHeight="1">
      <c r="A25" s="3"/>
      <c r="B25" s="50">
        <v>11.0</v>
      </c>
      <c r="C25" s="65"/>
      <c r="D25" s="66"/>
      <c r="E25" s="60"/>
      <c r="F25" s="61"/>
      <c r="G25" s="53"/>
      <c r="H25" s="67"/>
      <c r="I25" s="68"/>
      <c r="J25" s="63"/>
      <c r="K25" s="6"/>
    </row>
    <row r="26" ht="22.5" customHeight="1">
      <c r="A26" s="3"/>
      <c r="B26" s="50">
        <v>12.0</v>
      </c>
      <c r="C26" s="65"/>
      <c r="D26" s="66"/>
      <c r="E26" s="60"/>
      <c r="F26" s="61"/>
      <c r="G26" s="64"/>
      <c r="H26" s="67"/>
      <c r="I26" s="68"/>
      <c r="J26" s="63"/>
      <c r="K26" s="6"/>
    </row>
    <row r="27" ht="22.5" customHeight="1">
      <c r="A27" s="3"/>
      <c r="B27" s="50">
        <v>13.0</v>
      </c>
      <c r="C27" s="65"/>
      <c r="D27" s="66"/>
      <c r="E27" s="60"/>
      <c r="F27" s="61"/>
      <c r="G27" s="64"/>
      <c r="H27" s="67"/>
      <c r="I27" s="68"/>
      <c r="J27" s="63"/>
      <c r="K27" s="6"/>
    </row>
    <row r="28" ht="22.5" customHeight="1">
      <c r="A28" s="3"/>
      <c r="B28" s="50">
        <v>14.0</v>
      </c>
      <c r="C28" s="65"/>
      <c r="D28" s="66"/>
      <c r="E28" s="60"/>
      <c r="F28" s="61"/>
      <c r="G28" s="53"/>
      <c r="H28" s="67"/>
      <c r="I28" s="68"/>
      <c r="J28" s="63"/>
      <c r="K28" s="6"/>
    </row>
    <row r="29" ht="22.5" customHeight="1">
      <c r="A29" s="3"/>
      <c r="B29" s="50">
        <v>15.0</v>
      </c>
      <c r="C29" s="65"/>
      <c r="D29" s="66"/>
      <c r="E29" s="60"/>
      <c r="F29" s="61"/>
      <c r="G29" s="53"/>
      <c r="H29" s="67">
        <f t="shared" ref="H29:H37" si="1">ROUND(E29*G29,0)</f>
        <v>0</v>
      </c>
      <c r="I29" s="68"/>
      <c r="J29" s="63"/>
      <c r="K29" s="6"/>
    </row>
    <row r="30" ht="22.5" customHeight="1">
      <c r="A30" s="3"/>
      <c r="B30" s="50">
        <v>16.0</v>
      </c>
      <c r="C30" s="65"/>
      <c r="D30" s="66"/>
      <c r="E30" s="60"/>
      <c r="F30" s="61"/>
      <c r="G30" s="64"/>
      <c r="H30" s="67">
        <f t="shared" si="1"/>
        <v>0</v>
      </c>
      <c r="I30" s="68"/>
      <c r="J30" s="63"/>
      <c r="K30" s="6"/>
    </row>
    <row r="31" ht="22.5" customHeight="1">
      <c r="A31" s="3"/>
      <c r="B31" s="50">
        <v>17.0</v>
      </c>
      <c r="C31" s="65"/>
      <c r="D31" s="66"/>
      <c r="E31" s="60"/>
      <c r="F31" s="61"/>
      <c r="G31" s="64"/>
      <c r="H31" s="67">
        <f t="shared" si="1"/>
        <v>0</v>
      </c>
      <c r="I31" s="68"/>
      <c r="J31" s="63"/>
      <c r="K31" s="6"/>
    </row>
    <row r="32" ht="22.5" customHeight="1">
      <c r="A32" s="3"/>
      <c r="B32" s="50">
        <v>18.0</v>
      </c>
      <c r="C32" s="69"/>
      <c r="D32" s="70"/>
      <c r="E32" s="60"/>
      <c r="F32" s="61"/>
      <c r="G32" s="53"/>
      <c r="H32" s="67">
        <f t="shared" si="1"/>
        <v>0</v>
      </c>
      <c r="I32" s="68"/>
      <c r="J32" s="63"/>
      <c r="K32" s="6"/>
    </row>
    <row r="33" ht="22.5" customHeight="1">
      <c r="A33" s="3"/>
      <c r="B33" s="50">
        <v>19.0</v>
      </c>
      <c r="C33" s="71"/>
      <c r="D33" s="72"/>
      <c r="E33" s="60"/>
      <c r="F33" s="61"/>
      <c r="G33" s="64"/>
      <c r="H33" s="67">
        <f t="shared" si="1"/>
        <v>0</v>
      </c>
      <c r="I33" s="68"/>
      <c r="J33" s="63"/>
      <c r="K33" s="6"/>
    </row>
    <row r="34" ht="22.5" customHeight="1">
      <c r="A34" s="3"/>
      <c r="B34" s="50">
        <v>20.0</v>
      </c>
      <c r="C34" s="73"/>
      <c r="D34" s="52"/>
      <c r="E34" s="60"/>
      <c r="F34" s="61"/>
      <c r="G34" s="64"/>
      <c r="H34" s="67">
        <f t="shared" si="1"/>
        <v>0</v>
      </c>
      <c r="I34" s="68"/>
      <c r="J34" s="63"/>
      <c r="K34" s="6"/>
    </row>
    <row r="35" ht="22.5" customHeight="1">
      <c r="A35" s="3"/>
      <c r="B35" s="50">
        <v>21.0</v>
      </c>
      <c r="C35" s="74"/>
      <c r="D35" s="75"/>
      <c r="E35" s="60"/>
      <c r="F35" s="61"/>
      <c r="G35" s="64"/>
      <c r="H35" s="67">
        <f t="shared" si="1"/>
        <v>0</v>
      </c>
      <c r="I35" s="68"/>
      <c r="J35" s="63"/>
      <c r="K35" s="6"/>
    </row>
    <row r="36" ht="22.5" customHeight="1">
      <c r="A36" s="3"/>
      <c r="B36" s="50">
        <v>22.0</v>
      </c>
      <c r="C36" s="73"/>
      <c r="D36" s="52"/>
      <c r="E36" s="60"/>
      <c r="F36" s="61"/>
      <c r="G36" s="76"/>
      <c r="H36" s="67">
        <f t="shared" si="1"/>
        <v>0</v>
      </c>
      <c r="I36" s="77"/>
      <c r="J36" s="78"/>
      <c r="K36" s="6"/>
    </row>
    <row r="37" ht="22.5" customHeight="1">
      <c r="A37" s="3"/>
      <c r="B37" s="79">
        <v>23.0</v>
      </c>
      <c r="C37" s="80"/>
      <c r="D37" s="81"/>
      <c r="E37" s="82"/>
      <c r="F37" s="83"/>
      <c r="G37" s="84"/>
      <c r="H37" s="85">
        <f t="shared" si="1"/>
        <v>0</v>
      </c>
      <c r="I37" s="86"/>
      <c r="J37" s="87"/>
      <c r="K37" s="6"/>
    </row>
    <row r="38" ht="8.25" customHeight="1">
      <c r="A38" s="3"/>
      <c r="B38" s="88"/>
      <c r="C38" s="88"/>
      <c r="D38" s="89"/>
      <c r="E38" s="89"/>
      <c r="F38" s="4"/>
      <c r="G38" s="90"/>
      <c r="H38" s="91"/>
      <c r="I38" s="91"/>
      <c r="J38" s="92"/>
      <c r="K38" s="6"/>
    </row>
    <row r="39" ht="21.0" customHeight="1">
      <c r="A39" s="3"/>
      <c r="B39" s="93" t="s">
        <v>21</v>
      </c>
      <c r="C39" s="94"/>
      <c r="D39" s="95"/>
      <c r="E39" s="96"/>
      <c r="F39" s="4"/>
      <c r="G39" s="97" t="s">
        <v>22</v>
      </c>
      <c r="H39" s="98">
        <f>SUM(H15:H37)</f>
        <v>0</v>
      </c>
      <c r="I39" s="99"/>
      <c r="J39" s="100"/>
      <c r="K39" s="6"/>
    </row>
    <row r="40" ht="21.0" customHeight="1">
      <c r="A40" s="3"/>
      <c r="B40" s="101"/>
      <c r="C40" s="16" t="s">
        <v>23</v>
      </c>
      <c r="D40" s="102"/>
      <c r="E40" s="103"/>
      <c r="F40" s="4"/>
      <c r="G40" s="90"/>
      <c r="H40" s="104"/>
      <c r="K40" s="6"/>
    </row>
    <row r="41" ht="21.0" customHeight="1">
      <c r="A41" s="3"/>
      <c r="B41" s="105"/>
      <c r="C41" s="16"/>
      <c r="E41" s="106"/>
      <c r="F41" s="4"/>
      <c r="G41" s="90"/>
      <c r="H41" s="104"/>
      <c r="K41" s="6"/>
    </row>
    <row r="42" ht="21.0" customHeight="1">
      <c r="A42" s="3"/>
      <c r="B42" s="107"/>
      <c r="C42" s="108" t="s">
        <v>24</v>
      </c>
      <c r="D42" s="109"/>
      <c r="E42" s="110"/>
      <c r="F42" s="4"/>
      <c r="G42" s="90"/>
      <c r="H42" s="104"/>
      <c r="K42" s="6"/>
    </row>
    <row r="43" ht="10.5" customHeight="1">
      <c r="A43" s="3"/>
      <c r="B43" s="111"/>
      <c r="C43" s="111"/>
      <c r="D43" s="111"/>
      <c r="E43" s="111"/>
      <c r="F43" s="111"/>
      <c r="G43" s="111"/>
      <c r="H43" s="111"/>
      <c r="I43" s="111"/>
      <c r="J43" s="111"/>
      <c r="K43" s="111"/>
    </row>
    <row r="44" ht="19.5" customHeight="1">
      <c r="A44" s="3"/>
      <c r="B44" s="112"/>
      <c r="C44" s="113"/>
      <c r="D44" s="113"/>
      <c r="E44" s="113"/>
      <c r="F44" s="113"/>
      <c r="G44" s="113"/>
      <c r="H44" s="113"/>
      <c r="I44" s="113"/>
      <c r="J44" s="29"/>
      <c r="K44" s="111"/>
    </row>
    <row r="45" ht="20.25" customHeight="1">
      <c r="A45" s="3"/>
      <c r="B45" s="35"/>
      <c r="C45" s="37"/>
      <c r="D45" s="37"/>
      <c r="E45" s="37"/>
      <c r="F45" s="37"/>
      <c r="G45" s="37"/>
      <c r="H45" s="37"/>
      <c r="I45" s="37"/>
      <c r="J45" s="36"/>
      <c r="K45" s="3"/>
    </row>
    <row r="46" ht="12.75" customHeight="1">
      <c r="A46" s="3"/>
      <c r="B46" s="3"/>
      <c r="C46" s="3"/>
      <c r="D46" s="114"/>
      <c r="E46" s="3"/>
      <c r="F46" s="3"/>
      <c r="G46" s="3"/>
      <c r="H46" s="3"/>
      <c r="I46" s="3"/>
      <c r="J46" s="3"/>
      <c r="K46" s="11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5">
    <mergeCell ref="H7:J7"/>
    <mergeCell ref="H8:J8"/>
    <mergeCell ref="H9:J9"/>
    <mergeCell ref="H10:J10"/>
    <mergeCell ref="B3:E3"/>
    <mergeCell ref="B6:C6"/>
    <mergeCell ref="D6:F6"/>
    <mergeCell ref="B8:F8"/>
    <mergeCell ref="B1:J1"/>
    <mergeCell ref="C5:J5"/>
    <mergeCell ref="H6:J6"/>
    <mergeCell ref="B10:C11"/>
    <mergeCell ref="D10:D11"/>
    <mergeCell ref="E10:E11"/>
    <mergeCell ref="B12:C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B39:C39"/>
    <mergeCell ref="H39:J39"/>
    <mergeCell ref="H40:J40"/>
    <mergeCell ref="H41:J41"/>
    <mergeCell ref="H42:J42"/>
    <mergeCell ref="B44:J45"/>
    <mergeCell ref="C31:D31"/>
    <mergeCell ref="C32:D32"/>
    <mergeCell ref="C33:D33"/>
    <mergeCell ref="C34:D34"/>
    <mergeCell ref="C35:D35"/>
    <mergeCell ref="C36:D36"/>
    <mergeCell ref="C37:D37"/>
  </mergeCells>
  <printOptions/>
  <pageMargins bottom="0.41977368722949376" footer="0.0" header="0.0" left="0.25" right="0.25" top="0.38327162747040733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75B"/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5.0"/>
    <col customWidth="1" min="3" max="3" width="7.75"/>
    <col customWidth="1" min="4" max="4" width="27.38"/>
    <col customWidth="1" min="5" max="5" width="7.88"/>
    <col customWidth="1" min="6" max="6" width="8.63"/>
    <col customWidth="1" min="7" max="7" width="24.88"/>
    <col customWidth="1" min="8" max="8" width="10.25"/>
    <col customWidth="1" min="9" max="9" width="16.13"/>
    <col customWidth="1" min="10" max="10" width="2.5"/>
  </cols>
  <sheetData>
    <row r="1" ht="35.25" customHeight="1">
      <c r="A1" s="1"/>
      <c r="B1" s="2" t="s">
        <v>0</v>
      </c>
      <c r="J1" s="1"/>
    </row>
    <row r="2" ht="11.25" customHeight="1">
      <c r="A2" s="3"/>
      <c r="B2" s="3"/>
      <c r="C2" s="3"/>
      <c r="D2" s="4"/>
      <c r="E2" s="3"/>
      <c r="F2" s="3"/>
      <c r="G2" s="3"/>
      <c r="H2" s="3"/>
      <c r="I2" s="5"/>
      <c r="J2" s="6"/>
    </row>
    <row r="3" ht="19.5" customHeight="1">
      <c r="A3" s="7"/>
      <c r="B3" s="8" t="s">
        <v>1</v>
      </c>
      <c r="F3" s="9" t="s">
        <v>2</v>
      </c>
      <c r="G3" s="7"/>
      <c r="H3" s="10" t="s">
        <v>3</v>
      </c>
      <c r="I3" s="116">
        <v>45787.0</v>
      </c>
      <c r="J3" s="7"/>
    </row>
    <row r="4" ht="19.5" customHeight="1">
      <c r="A4" s="7"/>
      <c r="B4" s="12"/>
      <c r="C4" s="12"/>
      <c r="D4" s="12"/>
      <c r="E4" s="12"/>
      <c r="F4" s="13"/>
      <c r="G4" s="14"/>
      <c r="H4" s="10" t="s">
        <v>4</v>
      </c>
      <c r="I4" s="117"/>
      <c r="J4" s="7"/>
    </row>
    <row r="5" ht="10.5" customHeight="1">
      <c r="A5" s="3"/>
      <c r="B5" s="16"/>
      <c r="C5" s="16"/>
      <c r="J5" s="6"/>
    </row>
    <row r="6" ht="26.25" customHeight="1">
      <c r="A6" s="3"/>
      <c r="B6" s="17"/>
      <c r="D6" s="18"/>
      <c r="G6" s="4"/>
      <c r="H6" s="118" t="s">
        <v>25</v>
      </c>
      <c r="J6" s="6"/>
    </row>
    <row r="7" ht="15.75" customHeight="1">
      <c r="A7" s="3"/>
      <c r="B7" s="4"/>
      <c r="C7" s="4"/>
      <c r="D7" s="4"/>
      <c r="E7" s="4"/>
      <c r="F7" s="4"/>
      <c r="G7" s="4"/>
      <c r="H7" s="119" t="s">
        <v>26</v>
      </c>
      <c r="J7" s="6"/>
    </row>
    <row r="8" ht="15.75" customHeight="1">
      <c r="A8" s="3"/>
      <c r="B8" s="21" t="s">
        <v>8</v>
      </c>
      <c r="G8" s="4"/>
      <c r="H8" s="118"/>
      <c r="J8" s="6"/>
    </row>
    <row r="9" ht="15.75" customHeight="1">
      <c r="A9" s="3"/>
      <c r="B9" s="23"/>
      <c r="C9" s="23"/>
      <c r="D9" s="24"/>
      <c r="E9" s="25"/>
      <c r="F9" s="3"/>
      <c r="G9" s="26"/>
      <c r="H9" s="26"/>
      <c r="J9" s="6"/>
    </row>
    <row r="10" ht="15.75" customHeight="1">
      <c r="A10" s="27"/>
      <c r="B10" s="28" t="s">
        <v>10</v>
      </c>
      <c r="C10" s="29"/>
      <c r="D10" s="120">
        <f>H34</f>
        <v>18635</v>
      </c>
      <c r="E10" s="31" t="s">
        <v>11</v>
      </c>
      <c r="F10" s="27"/>
      <c r="G10" s="32"/>
      <c r="H10" s="121" t="s">
        <v>12</v>
      </c>
      <c r="J10" s="34"/>
    </row>
    <row r="11" ht="15.75" customHeight="1">
      <c r="A11" s="27"/>
      <c r="B11" s="35"/>
      <c r="C11" s="36"/>
      <c r="D11" s="37"/>
      <c r="E11" s="36"/>
      <c r="F11" s="27"/>
      <c r="G11" s="32"/>
      <c r="H11" s="38"/>
      <c r="I11" s="39"/>
      <c r="J11" s="34"/>
    </row>
    <row r="12" ht="18.75" customHeight="1">
      <c r="A12" s="3"/>
      <c r="B12" s="40" t="s">
        <v>13</v>
      </c>
      <c r="C12" s="41"/>
      <c r="D12" s="122">
        <v>45797.0</v>
      </c>
      <c r="E12" s="3"/>
      <c r="F12" s="3"/>
      <c r="G12" s="7"/>
      <c r="H12" s="39"/>
      <c r="I12" s="123"/>
      <c r="J12" s="6"/>
    </row>
    <row r="13" ht="7.5" customHeight="1">
      <c r="A13" s="3"/>
      <c r="B13" s="3"/>
      <c r="C13" s="3"/>
      <c r="D13" s="3"/>
      <c r="E13" s="3"/>
      <c r="F13" s="3"/>
      <c r="G13" s="3"/>
      <c r="H13" s="3"/>
      <c r="I13" s="3"/>
      <c r="J13" s="6"/>
    </row>
    <row r="14" ht="25.5" customHeight="1">
      <c r="A14" s="27"/>
      <c r="B14" s="124" t="s">
        <v>14</v>
      </c>
      <c r="C14" s="125" t="s">
        <v>15</v>
      </c>
      <c r="D14" s="126"/>
      <c r="E14" s="127" t="s">
        <v>16</v>
      </c>
      <c r="F14" s="127" t="s">
        <v>17</v>
      </c>
      <c r="G14" s="127" t="s">
        <v>18</v>
      </c>
      <c r="H14" s="127" t="s">
        <v>19</v>
      </c>
      <c r="I14" s="128" t="s">
        <v>20</v>
      </c>
      <c r="J14" s="34"/>
    </row>
    <row r="15" ht="22.5" customHeight="1">
      <c r="A15" s="3"/>
      <c r="B15" s="129">
        <v>1.0</v>
      </c>
      <c r="C15" s="73" t="s">
        <v>27</v>
      </c>
      <c r="D15" s="52"/>
      <c r="E15" s="64">
        <v>1.0</v>
      </c>
      <c r="F15" s="130" t="s">
        <v>28</v>
      </c>
      <c r="G15" s="64">
        <v>3000.0</v>
      </c>
      <c r="H15" s="131">
        <f t="shared" ref="H15:H32" si="1">ROUND(E15*G15,0)</f>
        <v>3000</v>
      </c>
      <c r="I15" s="132"/>
      <c r="J15" s="6"/>
    </row>
    <row r="16" ht="22.5" customHeight="1">
      <c r="A16" s="3"/>
      <c r="B16" s="129">
        <v>2.0</v>
      </c>
      <c r="C16" s="73" t="s">
        <v>29</v>
      </c>
      <c r="D16" s="52"/>
      <c r="E16" s="133">
        <v>1.0</v>
      </c>
      <c r="F16" s="15" t="s">
        <v>28</v>
      </c>
      <c r="G16" s="64">
        <v>500.0</v>
      </c>
      <c r="H16" s="134">
        <f t="shared" si="1"/>
        <v>500</v>
      </c>
      <c r="I16" s="135"/>
      <c r="J16" s="6"/>
    </row>
    <row r="17" ht="22.5" customHeight="1">
      <c r="A17" s="3"/>
      <c r="B17" s="129">
        <v>3.0</v>
      </c>
      <c r="C17" s="73" t="s">
        <v>30</v>
      </c>
      <c r="D17" s="52"/>
      <c r="E17" s="133">
        <v>1.0</v>
      </c>
      <c r="F17" s="15" t="s">
        <v>28</v>
      </c>
      <c r="G17" s="64">
        <v>5456.0</v>
      </c>
      <c r="H17" s="134">
        <f t="shared" si="1"/>
        <v>5456</v>
      </c>
      <c r="I17" s="135"/>
      <c r="J17" s="6"/>
    </row>
    <row r="18" ht="22.5" customHeight="1">
      <c r="A18" s="3"/>
      <c r="B18" s="129">
        <v>4.0</v>
      </c>
      <c r="C18" s="73" t="s">
        <v>31</v>
      </c>
      <c r="D18" s="52"/>
      <c r="E18" s="136">
        <v>1.0</v>
      </c>
      <c r="F18" s="15" t="s">
        <v>28</v>
      </c>
      <c r="G18" s="64">
        <v>500.0</v>
      </c>
      <c r="H18" s="134">
        <f t="shared" si="1"/>
        <v>500</v>
      </c>
      <c r="I18" s="135"/>
      <c r="J18" s="6"/>
    </row>
    <row r="19" ht="22.5" customHeight="1">
      <c r="A19" s="3"/>
      <c r="B19" s="129">
        <v>5.0</v>
      </c>
      <c r="C19" s="73" t="s">
        <v>32</v>
      </c>
      <c r="D19" s="52"/>
      <c r="E19" s="64">
        <v>1.0</v>
      </c>
      <c r="F19" s="15" t="s">
        <v>28</v>
      </c>
      <c r="G19" s="64">
        <v>3000.0</v>
      </c>
      <c r="H19" s="134">
        <f t="shared" si="1"/>
        <v>3000</v>
      </c>
      <c r="I19" s="135"/>
      <c r="J19" s="6"/>
    </row>
    <row r="20" ht="22.5" customHeight="1">
      <c r="A20" s="3"/>
      <c r="B20" s="129">
        <v>6.0</v>
      </c>
      <c r="C20" s="73" t="s">
        <v>33</v>
      </c>
      <c r="D20" s="52"/>
      <c r="E20" s="133">
        <v>1.0</v>
      </c>
      <c r="F20" s="15" t="s">
        <v>28</v>
      </c>
      <c r="G20" s="64">
        <v>500.0</v>
      </c>
      <c r="H20" s="134">
        <f t="shared" si="1"/>
        <v>500</v>
      </c>
      <c r="I20" s="135"/>
      <c r="J20" s="6"/>
    </row>
    <row r="21" ht="22.5" customHeight="1">
      <c r="A21" s="3"/>
      <c r="B21" s="129">
        <f t="shared" ref="B21:B32" si="2">IF(C21="","",1+B20)</f>
        <v>7</v>
      </c>
      <c r="C21" s="73" t="s">
        <v>34</v>
      </c>
      <c r="D21" s="52"/>
      <c r="E21" s="133">
        <v>1.0</v>
      </c>
      <c r="F21" s="15" t="s">
        <v>28</v>
      </c>
      <c r="G21" s="64">
        <v>5179.0</v>
      </c>
      <c r="H21" s="134">
        <f t="shared" si="1"/>
        <v>5179</v>
      </c>
      <c r="I21" s="135"/>
      <c r="J21" s="6"/>
    </row>
    <row r="22" ht="22.5" customHeight="1">
      <c r="A22" s="3"/>
      <c r="B22" s="129">
        <f t="shared" si="2"/>
        <v>8</v>
      </c>
      <c r="C22" s="73" t="s">
        <v>35</v>
      </c>
      <c r="D22" s="52"/>
      <c r="E22" s="136">
        <v>1.0</v>
      </c>
      <c r="F22" s="15" t="s">
        <v>28</v>
      </c>
      <c r="G22" s="64">
        <v>500.0</v>
      </c>
      <c r="H22" s="134">
        <f t="shared" si="1"/>
        <v>500</v>
      </c>
      <c r="I22" s="135"/>
      <c r="J22" s="6"/>
    </row>
    <row r="23" ht="22.5" customHeight="1">
      <c r="A23" s="3"/>
      <c r="B23" s="129" t="str">
        <f t="shared" si="2"/>
        <v/>
      </c>
      <c r="C23" s="137"/>
      <c r="D23" s="66"/>
      <c r="E23" s="136"/>
      <c r="F23" s="15"/>
      <c r="G23" s="138" t="str">
        <f>IF(ISERROR(VLOOKUP(C23,'マスタ設定'!$E$9:$F$31,2,FALSE)),"",VLOOKUP(C23,'マスタ設定'!$E$9:$F$31,2,FALSE))</f>
        <v/>
      </c>
      <c r="H23" s="134">
        <f t="shared" si="1"/>
        <v>0</v>
      </c>
      <c r="I23" s="135"/>
      <c r="J23" s="6"/>
    </row>
    <row r="24" ht="22.5" customHeight="1">
      <c r="A24" s="3"/>
      <c r="B24" s="129" t="str">
        <f t="shared" si="2"/>
        <v/>
      </c>
      <c r="C24" s="137"/>
      <c r="D24" s="66"/>
      <c r="E24" s="136"/>
      <c r="F24" s="15"/>
      <c r="G24" s="138" t="str">
        <f t="shared" ref="G24:G32" si="3">IF(ISERROR(VLOOKUP(C24,'マスタ設定'!$E$9:$F$31,2,FALSE)),"",VLOOKUP(C24,'マスタ設定'!$E$9:$F$31,2,FALSE))</f>
        <v/>
      </c>
      <c r="H24" s="134">
        <f t="shared" si="1"/>
        <v>0</v>
      </c>
      <c r="I24" s="135"/>
      <c r="J24" s="6"/>
    </row>
    <row r="25" ht="22.5" customHeight="1">
      <c r="A25" s="3"/>
      <c r="B25" s="129" t="str">
        <f t="shared" si="2"/>
        <v/>
      </c>
      <c r="C25" s="137"/>
      <c r="D25" s="66"/>
      <c r="E25" s="136"/>
      <c r="F25" s="15"/>
      <c r="G25" s="138" t="str">
        <f t="shared" si="3"/>
        <v/>
      </c>
      <c r="H25" s="134">
        <f t="shared" si="1"/>
        <v>0</v>
      </c>
      <c r="I25" s="135"/>
      <c r="J25" s="6"/>
    </row>
    <row r="26" ht="22.5" customHeight="1">
      <c r="A26" s="3"/>
      <c r="B26" s="129" t="str">
        <f t="shared" si="2"/>
        <v/>
      </c>
      <c r="C26" s="137"/>
      <c r="D26" s="66"/>
      <c r="E26" s="136"/>
      <c r="F26" s="15"/>
      <c r="G26" s="138" t="str">
        <f t="shared" si="3"/>
        <v/>
      </c>
      <c r="H26" s="134">
        <f t="shared" si="1"/>
        <v>0</v>
      </c>
      <c r="I26" s="135"/>
      <c r="J26" s="6"/>
    </row>
    <row r="27" ht="22.5" customHeight="1">
      <c r="A27" s="3"/>
      <c r="B27" s="129" t="str">
        <f t="shared" si="2"/>
        <v/>
      </c>
      <c r="C27" s="137"/>
      <c r="D27" s="66"/>
      <c r="E27" s="136"/>
      <c r="F27" s="15"/>
      <c r="G27" s="138" t="str">
        <f t="shared" si="3"/>
        <v/>
      </c>
      <c r="H27" s="134">
        <f t="shared" si="1"/>
        <v>0</v>
      </c>
      <c r="I27" s="135"/>
      <c r="J27" s="6"/>
    </row>
    <row r="28" ht="22.5" customHeight="1">
      <c r="A28" s="3"/>
      <c r="B28" s="129" t="str">
        <f t="shared" si="2"/>
        <v/>
      </c>
      <c r="C28" s="137"/>
      <c r="D28" s="66"/>
      <c r="E28" s="136"/>
      <c r="F28" s="15"/>
      <c r="G28" s="138" t="str">
        <f t="shared" si="3"/>
        <v/>
      </c>
      <c r="H28" s="134">
        <f t="shared" si="1"/>
        <v>0</v>
      </c>
      <c r="I28" s="135"/>
      <c r="J28" s="6"/>
    </row>
    <row r="29" ht="22.5" customHeight="1">
      <c r="A29" s="3"/>
      <c r="B29" s="129" t="str">
        <f t="shared" si="2"/>
        <v/>
      </c>
      <c r="C29" s="137"/>
      <c r="D29" s="66"/>
      <c r="E29" s="136"/>
      <c r="F29" s="15"/>
      <c r="G29" s="138" t="str">
        <f t="shared" si="3"/>
        <v/>
      </c>
      <c r="H29" s="134">
        <f t="shared" si="1"/>
        <v>0</v>
      </c>
      <c r="I29" s="135"/>
      <c r="J29" s="6"/>
    </row>
    <row r="30" ht="22.5" customHeight="1">
      <c r="A30" s="3"/>
      <c r="B30" s="129" t="str">
        <f t="shared" si="2"/>
        <v/>
      </c>
      <c r="C30" s="137"/>
      <c r="D30" s="66"/>
      <c r="E30" s="136"/>
      <c r="F30" s="15"/>
      <c r="G30" s="138" t="str">
        <f t="shared" si="3"/>
        <v/>
      </c>
      <c r="H30" s="134">
        <f t="shared" si="1"/>
        <v>0</v>
      </c>
      <c r="I30" s="135"/>
      <c r="J30" s="6"/>
    </row>
    <row r="31" ht="22.5" customHeight="1">
      <c r="A31" s="3"/>
      <c r="B31" s="129" t="str">
        <f t="shared" si="2"/>
        <v/>
      </c>
      <c r="C31" s="137"/>
      <c r="D31" s="66"/>
      <c r="E31" s="136"/>
      <c r="F31" s="15"/>
      <c r="G31" s="138" t="str">
        <f t="shared" si="3"/>
        <v/>
      </c>
      <c r="H31" s="134">
        <f t="shared" si="1"/>
        <v>0</v>
      </c>
      <c r="I31" s="135"/>
      <c r="J31" s="6"/>
    </row>
    <row r="32" ht="22.5" customHeight="1">
      <c r="A32" s="3"/>
      <c r="B32" s="139" t="str">
        <f t="shared" si="2"/>
        <v/>
      </c>
      <c r="C32" s="140"/>
      <c r="D32" s="141"/>
      <c r="E32" s="142"/>
      <c r="F32" s="143"/>
      <c r="G32" s="144" t="str">
        <f t="shared" si="3"/>
        <v/>
      </c>
      <c r="H32" s="145">
        <f t="shared" si="1"/>
        <v>0</v>
      </c>
      <c r="I32" s="146"/>
      <c r="J32" s="6"/>
    </row>
    <row r="33" ht="8.25" customHeight="1">
      <c r="A33" s="3"/>
      <c r="B33" s="88"/>
      <c r="C33" s="88"/>
      <c r="D33" s="89"/>
      <c r="E33" s="89"/>
      <c r="F33" s="4"/>
      <c r="G33" s="90"/>
      <c r="H33" s="91"/>
      <c r="I33" s="92"/>
      <c r="J33" s="6"/>
    </row>
    <row r="34" ht="21.0" customHeight="1">
      <c r="A34" s="3"/>
      <c r="B34" s="93" t="s">
        <v>21</v>
      </c>
      <c r="C34" s="94"/>
      <c r="D34" s="147" t="s">
        <v>36</v>
      </c>
      <c r="E34" s="96"/>
      <c r="F34" s="4"/>
      <c r="G34" s="97" t="s">
        <v>22</v>
      </c>
      <c r="H34" s="98">
        <f>SUM(H15:H32)</f>
        <v>18635</v>
      </c>
      <c r="I34" s="100"/>
      <c r="J34" s="6"/>
    </row>
    <row r="35" ht="21.0" customHeight="1">
      <c r="A35" s="3"/>
      <c r="B35" s="101"/>
      <c r="C35" s="16" t="s">
        <v>23</v>
      </c>
      <c r="D35" s="148" t="s">
        <v>37</v>
      </c>
      <c r="E35" s="103"/>
      <c r="F35" s="4"/>
      <c r="G35" s="90"/>
      <c r="H35" s="104"/>
      <c r="J35" s="6"/>
    </row>
    <row r="36" ht="21.0" customHeight="1">
      <c r="A36" s="3"/>
      <c r="B36" s="105"/>
      <c r="C36" s="16"/>
      <c r="D36" s="149"/>
      <c r="E36" s="106"/>
      <c r="F36" s="4"/>
      <c r="G36" s="90"/>
      <c r="H36" s="104"/>
      <c r="J36" s="6"/>
    </row>
    <row r="37" ht="21.0" customHeight="1">
      <c r="A37" s="3"/>
      <c r="B37" s="107"/>
      <c r="C37" s="108" t="s">
        <v>24</v>
      </c>
      <c r="D37" s="150" t="s">
        <v>38</v>
      </c>
      <c r="E37" s="110"/>
      <c r="F37" s="4"/>
      <c r="G37" s="90"/>
      <c r="H37" s="104"/>
      <c r="J37" s="6"/>
    </row>
    <row r="38" ht="10.5" customHeight="1">
      <c r="A38" s="3"/>
      <c r="B38" s="111"/>
      <c r="C38" s="111"/>
      <c r="D38" s="111"/>
      <c r="E38" s="111"/>
      <c r="F38" s="111"/>
      <c r="G38" s="111"/>
      <c r="H38" s="111"/>
      <c r="I38" s="111"/>
      <c r="J38" s="111"/>
    </row>
    <row r="39" ht="19.5" customHeight="1">
      <c r="A39" s="3"/>
      <c r="B39" s="112"/>
      <c r="C39" s="113"/>
      <c r="D39" s="113"/>
      <c r="E39" s="113"/>
      <c r="F39" s="113"/>
      <c r="G39" s="113"/>
      <c r="H39" s="113"/>
      <c r="I39" s="29"/>
      <c r="J39" s="111"/>
    </row>
    <row r="40" ht="20.25" customHeight="1">
      <c r="A40" s="3"/>
      <c r="B40" s="35"/>
      <c r="C40" s="37"/>
      <c r="D40" s="37"/>
      <c r="E40" s="37"/>
      <c r="F40" s="37"/>
      <c r="G40" s="37"/>
      <c r="H40" s="37"/>
      <c r="I40" s="36"/>
      <c r="J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11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H7:I7"/>
    <mergeCell ref="H8:I8"/>
    <mergeCell ref="H9:I9"/>
    <mergeCell ref="H10:I10"/>
    <mergeCell ref="B1:I1"/>
    <mergeCell ref="B3:E3"/>
    <mergeCell ref="C5:I5"/>
    <mergeCell ref="B6:C6"/>
    <mergeCell ref="D6:F6"/>
    <mergeCell ref="H6:I6"/>
    <mergeCell ref="B8:F8"/>
    <mergeCell ref="B10:C11"/>
    <mergeCell ref="D10:D11"/>
    <mergeCell ref="E10:E11"/>
    <mergeCell ref="B12:C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31:D31"/>
    <mergeCell ref="C32:D32"/>
    <mergeCell ref="B34:C34"/>
    <mergeCell ref="H34:I34"/>
    <mergeCell ref="H35:I35"/>
    <mergeCell ref="H36:I36"/>
    <mergeCell ref="H37:I37"/>
    <mergeCell ref="B39:I40"/>
    <mergeCell ref="C24:D24"/>
    <mergeCell ref="C25:D25"/>
    <mergeCell ref="C26:D26"/>
    <mergeCell ref="C27:D27"/>
    <mergeCell ref="C28:D28"/>
    <mergeCell ref="C29:D29"/>
    <mergeCell ref="C30:D30"/>
  </mergeCells>
  <printOptions/>
  <pageMargins bottom="0.41977368722949376" footer="0.0" header="0.0" left="0.25" right="0.25" top="0.38327162747040733"/>
  <pageSetup fitToHeight="0" paperSize="9" orientation="portrait"/>
  <drawing r:id="rId1"/>
</worksheet>
</file>